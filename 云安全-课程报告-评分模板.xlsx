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\GradeHelper\"/>
    </mc:Choice>
  </mc:AlternateContent>
  <xr:revisionPtr revIDLastSave="0" documentId="13_ncr:1_{4E12CFCF-0B9C-4D2A-AEEA-3EB786B342E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ule" sheetId="1" r:id="rId1"/>
    <sheet name="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<sst xmlns="http://schemas.openxmlformats.org/spreadsheetml/2006/main" count="136" uniqueCount="105">
  <si>
    <t>评分项</t>
  </si>
  <si>
    <t>默认值</t>
  </si>
  <si>
    <t>权重</t>
  </si>
  <si>
    <t>处理方法</t>
  </si>
  <si>
    <t>评估方法</t>
  </si>
  <si>
    <t>评语</t>
  </si>
  <si>
    <t>baseScore</t>
  </si>
  <si>
    <t>rule</t>
  </si>
  <si>
    <t>报告存在即+25。</t>
  </si>
  <si>
    <t>报告已提交，+25分</t>
  </si>
  <si>
    <t>hasNameID</t>
  </si>
  <si>
    <t>缺少姓名中学号。报告文本中不包含姓名或学号。缺少任意一个或缺少两个，-2。</t>
  </si>
  <si>
    <t>报告中不含xx，-2分。</t>
  </si>
  <si>
    <t>redundantRName</t>
  </si>
  <si>
    <t>题目冗余。程序判断在第一个姓名之前是否同时包含“课程报告”和“实验报告”两个字符串。如果包含，-2。</t>
  </si>
  <si>
    <t>报告名称冗余。封面同时包含“课程报告”和“实验报告”，-2分。</t>
  </si>
  <si>
    <t>copied</t>
  </si>
  <si>
    <t>相似度判定。2篇或更多文档，基于欧氏距离的相似度&gt;=90%，-5。这里主要是判断是否完全复制，因为欧氏距离对长度敏感，所以用欧氏距离。</t>
  </si>
  <si>
    <t>高度雷同。基于欧氏距离的相似度&gt;=90%。-5分。相似学号：xxxx。</t>
  </si>
  <si>
    <t>tooManyList</t>
  </si>
  <si>
    <t>List滥用。先分离程序代码内容，使用非代码内容比较。非代码List内容长度超过非代码正文段落内容长度，-4。</t>
  </si>
  <si>
    <t>过多使用list，疑似滥用AI。List内容长度超过正文段落内容长度，-4分。</t>
  </si>
  <si>
    <t>hasCatalogue</t>
  </si>
  <si>
    <t>包含目录。报告前半总分包含目录，+2。</t>
  </si>
  <si>
    <t>报告包含目录，+2分。</t>
  </si>
  <si>
    <t>hasRequirement</t>
  </si>
  <si>
    <t>包含题目。报告前半部分包含相似度不少于90%的下面字符串。“1、针对某一云安全问题进行论述，叙述其产生的原因，带来的危害，解决的方法。
2、对本门课程的总结，包括收益、建议等。”如果不包含，-3。</t>
  </si>
  <si>
    <t>未按要求写明题目要求，-3分。</t>
  </si>
  <si>
    <t>summaryDocker</t>
  </si>
  <si>
    <t>最后总结部分包含docker, +2。</t>
  </si>
  <si>
    <t>总结部分涉及重点内容docker，+2分。</t>
  </si>
  <si>
    <t>summarySql</t>
  </si>
  <si>
    <t>最后总结部分包含NoSQL, MongoDB, SQLite, hbase,任意一项，+2。</t>
  </si>
  <si>
    <t>总结部分涉及重点内容NoSQL，+2分。</t>
  </si>
  <si>
    <t>hasPic</t>
  </si>
  <si>
    <t>0-4</t>
  </si>
  <si>
    <t>LLM</t>
  </si>
  <si>
    <t>引导LLM给出评语和评分。评语要给出评分原因。+[0, 4]分</t>
  </si>
  <si>
    <t>event</t>
  </si>
  <si>
    <t>0-100</t>
  </si>
  <si>
    <t>对某一云安全问题或事件进行了描述。根据描述清晰性(如表述是否准确、无歧义，专业术语使用是否正确)、完整性(如否交代时间、主体、受影响资产、攻击/故障类型、结果等关键要素)、详略程度(如细节是否足以支撑理解，同时不过度冗余)打分。如果事件是亲身经历或切身相关的，额外+3(不受上限15分的限制)。</t>
  </si>
  <si>
    <t>引导LLM给出评语和评分。评语要给出评分原因。+[0, 15]分</t>
  </si>
  <si>
    <t>eventCause</t>
  </si>
  <si>
    <t>论述了产生这一问题或事件的原因。根据描述清晰性(如因果链条是否明确，从诱因到事件的传导路径是否可追溯)、合理性(如原因是否符合技术事实，是否与所述事件自洽)、详略程度(如是否区分直接原因与根本原因，是否涉及技术、管理、流程多层面)打分。</t>
  </si>
  <si>
    <t>eventHazard</t>
  </si>
  <si>
    <t>论述了产生这一问题或事件的危害。根据描述清晰性(如危害描述是否具体、可理解)、合理性(如危害是否与事件规模、类型匹配，有无夸大或低估)、详略程度(如是否覆盖多个危害维度)打分。</t>
  </si>
  <si>
    <t>eventSolution</t>
  </si>
  <si>
    <t>论述了解决这一问题的措施。根据描述清晰性(如措施表述是否具体、可操作，步骤是否明确)、合理性(如措施是否技术上正确，是否与事件成因和危害对应，是否符合云安全最佳实践)、详略程度(如是否区分应急处置与长期加固，是否覆盖技术、流程、监控多个层面)打分。</t>
  </si>
  <si>
    <t>summary</t>
  </si>
  <si>
    <t>课程总结。根据描述清晰性、完整性、详略程度打分。课程的主体内容为云计算和云安全的相关基础知识；云计算相关的安全风险分析；主机虚拟化技术及安全分析；网络虚拟化及安全分析；身份管理及访问控制相关知识；云数据及其安全问题；docker相关知识及操作；NoSQL MongoDB SQLite hbase等相关知识；虚拟主机的配置及其网络配置。对课程的总结应落在这个范围，相关内容越多得分越高。也可以包含对云安全课程的收益、建议等。如果加入学习过程的亲身体会和经历，额外+2(不受上限15分的限制)。</t>
  </si>
  <si>
    <t>学号</t>
  </si>
  <si>
    <t>姓名</t>
  </si>
  <si>
    <t>班级</t>
  </si>
  <si>
    <t>总分</t>
  </si>
  <si>
    <t>baseScore评分</t>
  </si>
  <si>
    <t>baseScore评语</t>
  </si>
  <si>
    <t>hasNameID评分</t>
  </si>
  <si>
    <t>hasNameID评语</t>
  </si>
  <si>
    <t>redundantRName评分</t>
  </si>
  <si>
    <t>redundantRName评语</t>
  </si>
  <si>
    <t>copied评分</t>
  </si>
  <si>
    <t>copied评语</t>
  </si>
  <si>
    <t>tooManyList评分</t>
  </si>
  <si>
    <t>tooManyList评语</t>
  </si>
  <si>
    <t>hasCatalogue评分</t>
  </si>
  <si>
    <t>hasCatalogue评语</t>
  </si>
  <si>
    <t>hasRequirement评分</t>
  </si>
  <si>
    <t>hasRequirement评语</t>
  </si>
  <si>
    <t>summaryDocker评分</t>
  </si>
  <si>
    <t>summaryDocker评语</t>
  </si>
  <si>
    <t>summarySql评分</t>
  </si>
  <si>
    <t>summarySql评语</t>
  </si>
  <si>
    <t>hasPic评分</t>
  </si>
  <si>
    <t>hasPic置信度</t>
  </si>
  <si>
    <t>hasPic评语</t>
  </si>
  <si>
    <t>event评分</t>
  </si>
  <si>
    <t>event置信度</t>
  </si>
  <si>
    <t>event评语</t>
  </si>
  <si>
    <t>eventCause评分</t>
  </si>
  <si>
    <t>eventCause置信度</t>
  </si>
  <si>
    <t>eventCause评语</t>
  </si>
  <si>
    <t>eventHazard评分</t>
  </si>
  <si>
    <t>eventHazard置信度</t>
  </si>
  <si>
    <t>eventHazard评语</t>
  </si>
  <si>
    <t>eventSolution评分</t>
  </si>
  <si>
    <t>eventSolution置信度</t>
  </si>
  <si>
    <t>eventSolution评语</t>
  </si>
  <si>
    <t>summary评分</t>
  </si>
  <si>
    <t>summary置信度</t>
  </si>
  <si>
    <t>summary评语</t>
  </si>
  <si>
    <t>3220601014</t>
  </si>
  <si>
    <t>王庶尧</t>
  </si>
  <si>
    <t>信息安全2201</t>
  </si>
  <si>
    <t>报告中包含姓名和学号，不扣分。</t>
  </si>
  <si>
    <t>报告名称无冗余，不扣分。</t>
  </si>
  <si>
    <t>与其他报告最高相似度 50%，未达 90%，不扣分。</t>
  </si>
  <si>
    <t>List 使用正常（List 0 字，正文 2481 字），不扣分。</t>
  </si>
  <si>
    <t>报告未检测到目录，不加分。</t>
  </si>
  <si>
    <t>总结部分未涉及 docker，不加分。</t>
  </si>
  <si>
    <t>总结部分未涉及 NoSQL 相关内容，不加分。</t>
  </si>
  <si>
    <t>3220802028</t>
  </si>
  <si>
    <t>胡崎</t>
  </si>
  <si>
    <t>信息安全2301</t>
  </si>
  <si>
    <t>List 使用正常（List 322 字，正文 5491 字），不扣分。</t>
  </si>
  <si>
    <t>图片评估，评分0-4分。预处理已经以将图片转为文字描述。如果存在图片描述文字，根据上下文语义对图片内容的合理性给出评分。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</si>
</sst>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58" fontId="0" fillId="0" borderId="0" xfId="0" quotePrefix="1" applyNumberFormat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topLeftCell="A6" workbookViewId="0">
      <selection activeCell="E11" sqref="E11"/>
    </sheetView>
  </sheetViews>
  <sheetFormatPr defaultRowHeight="13.8" x14ac:dyDescent="0.25"/>
  <cols>
    <col min="1" max="1" width="17.77734375" style="3" customWidth="1"/>
    <col min="4" max="4" width="9.5546875" style="3" bestFit="1" customWidth="1"/>
    <col min="5" max="5" width="68.88671875" style="1" customWidth="1"/>
    <col min="6" max="6" width="58.5546875" style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25</v>
      </c>
      <c r="C2">
        <v>1</v>
      </c>
      <c r="D2" t="s">
        <v>7</v>
      </c>
      <c r="E2" s="1" t="s">
        <v>8</v>
      </c>
      <c r="F2" s="1" t="s">
        <v>9</v>
      </c>
    </row>
    <row r="3" spans="1:6" ht="27.6" customHeight="1" x14ac:dyDescent="0.25">
      <c r="A3" t="s">
        <v>10</v>
      </c>
      <c r="B3">
        <v>-2</v>
      </c>
      <c r="C3">
        <v>1</v>
      </c>
      <c r="D3" t="s">
        <v>7</v>
      </c>
      <c r="E3" s="1" t="s">
        <v>11</v>
      </c>
      <c r="F3" s="1" t="s">
        <v>12</v>
      </c>
    </row>
    <row r="4" spans="1:6" ht="27.6" customHeight="1" x14ac:dyDescent="0.25">
      <c r="A4" t="s">
        <v>13</v>
      </c>
      <c r="B4">
        <v>-2</v>
      </c>
      <c r="C4">
        <v>1</v>
      </c>
      <c r="D4" t="s">
        <v>7</v>
      </c>
      <c r="E4" s="1" t="s">
        <v>14</v>
      </c>
      <c r="F4" s="1" t="s">
        <v>15</v>
      </c>
    </row>
    <row r="5" spans="1:6" ht="27.6" customHeight="1" x14ac:dyDescent="0.25">
      <c r="A5" t="s">
        <v>16</v>
      </c>
      <c r="B5">
        <v>-5</v>
      </c>
      <c r="C5">
        <v>1</v>
      </c>
      <c r="D5" t="s">
        <v>7</v>
      </c>
      <c r="E5" s="1" t="s">
        <v>17</v>
      </c>
      <c r="F5" s="1" t="s">
        <v>18</v>
      </c>
    </row>
    <row r="6" spans="1:6" ht="27.6" customHeight="1" x14ac:dyDescent="0.25">
      <c r="A6" t="s">
        <v>19</v>
      </c>
      <c r="B6">
        <v>-4</v>
      </c>
      <c r="C6">
        <v>1</v>
      </c>
      <c r="D6" t="s">
        <v>7</v>
      </c>
      <c r="E6" s="1" t="s">
        <v>20</v>
      </c>
      <c r="F6" s="1" t="s">
        <v>21</v>
      </c>
    </row>
    <row r="7" spans="1:6" x14ac:dyDescent="0.25">
      <c r="A7" t="s">
        <v>22</v>
      </c>
      <c r="B7">
        <v>2</v>
      </c>
      <c r="C7">
        <v>1</v>
      </c>
      <c r="D7" t="s">
        <v>7</v>
      </c>
      <c r="E7" s="1" t="s">
        <v>23</v>
      </c>
      <c r="F7" s="1" t="s">
        <v>24</v>
      </c>
    </row>
    <row r="8" spans="1:6" ht="41.4" customHeight="1" x14ac:dyDescent="0.25">
      <c r="A8" t="s">
        <v>25</v>
      </c>
      <c r="B8">
        <v>-3</v>
      </c>
      <c r="C8">
        <v>1</v>
      </c>
      <c r="D8" t="s">
        <v>7</v>
      </c>
      <c r="E8" s="1" t="s">
        <v>26</v>
      </c>
      <c r="F8" s="1" t="s">
        <v>27</v>
      </c>
    </row>
    <row r="9" spans="1:6" x14ac:dyDescent="0.25">
      <c r="A9" t="s">
        <v>28</v>
      </c>
      <c r="B9">
        <v>2</v>
      </c>
      <c r="C9">
        <v>1</v>
      </c>
      <c r="D9" t="s">
        <v>7</v>
      </c>
      <c r="E9" s="1" t="s">
        <v>29</v>
      </c>
      <c r="F9" s="1" t="s">
        <v>30</v>
      </c>
    </row>
    <row r="10" spans="1:6" x14ac:dyDescent="0.25">
      <c r="A10" t="s">
        <v>31</v>
      </c>
      <c r="B10">
        <v>2</v>
      </c>
      <c r="C10">
        <v>1</v>
      </c>
      <c r="D10" t="s">
        <v>7</v>
      </c>
      <c r="E10" s="1" t="s">
        <v>32</v>
      </c>
      <c r="F10" s="1" t="s">
        <v>33</v>
      </c>
    </row>
    <row r="11" spans="1:6" ht="41.4" customHeight="1" x14ac:dyDescent="0.25">
      <c r="A11" t="s">
        <v>34</v>
      </c>
      <c r="B11" s="2" t="s">
        <v>35</v>
      </c>
      <c r="C11">
        <v>1</v>
      </c>
      <c r="D11" t="s">
        <v>36</v>
      </c>
      <c r="E11" s="1" t="s">
        <v>104</v>
      </c>
      <c r="F11" s="1" t="s">
        <v>37</v>
      </c>
    </row>
    <row r="12" spans="1:6" ht="69" customHeight="1" x14ac:dyDescent="0.25">
      <c r="A12" t="s">
        <v>38</v>
      </c>
      <c r="B12" t="s">
        <v>39</v>
      </c>
      <c r="C12">
        <v>0.15</v>
      </c>
      <c r="D12" t="s">
        <v>36</v>
      </c>
      <c r="E12" s="1" t="s">
        <v>40</v>
      </c>
      <c r="F12" s="1" t="s">
        <v>41</v>
      </c>
    </row>
    <row r="13" spans="1:6" ht="55.2" customHeight="1" x14ac:dyDescent="0.25">
      <c r="A13" t="s">
        <v>42</v>
      </c>
      <c r="B13" t="s">
        <v>39</v>
      </c>
      <c r="C13">
        <v>0.15</v>
      </c>
      <c r="D13" t="s">
        <v>36</v>
      </c>
      <c r="E13" s="1" t="s">
        <v>43</v>
      </c>
      <c r="F13" s="1" t="s">
        <v>41</v>
      </c>
    </row>
    <row r="14" spans="1:6" ht="41.4" customHeight="1" x14ac:dyDescent="0.25">
      <c r="A14" t="s">
        <v>44</v>
      </c>
      <c r="B14" t="s">
        <v>39</v>
      </c>
      <c r="C14">
        <v>0.15</v>
      </c>
      <c r="D14" t="s">
        <v>36</v>
      </c>
      <c r="E14" s="1" t="s">
        <v>45</v>
      </c>
      <c r="F14" s="1" t="s">
        <v>41</v>
      </c>
    </row>
    <row r="15" spans="1:6" ht="55.2" customHeight="1" x14ac:dyDescent="0.25">
      <c r="A15" t="s">
        <v>46</v>
      </c>
      <c r="B15" t="s">
        <v>39</v>
      </c>
      <c r="C15">
        <v>0.15</v>
      </c>
      <c r="D15" t="s">
        <v>36</v>
      </c>
      <c r="E15" s="1" t="s">
        <v>47</v>
      </c>
      <c r="F15" s="1" t="s">
        <v>41</v>
      </c>
    </row>
    <row r="16" spans="1:6" ht="96.6" customHeight="1" x14ac:dyDescent="0.25">
      <c r="A16" t="s">
        <v>48</v>
      </c>
      <c r="B16" t="s">
        <v>39</v>
      </c>
      <c r="C16">
        <v>0.15</v>
      </c>
      <c r="D16" t="s">
        <v>36</v>
      </c>
      <c r="E16" s="1" t="s">
        <v>49</v>
      </c>
      <c r="F16" s="1" t="s">
        <v>41</v>
      </c>
    </row>
  </sheetData>
  <phoneticPr fontId="1" type="noConversion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3"/>
  <sheetViews>
    <sheetView workbookViewId="0">
      <pane ySplit="1" topLeftCell="A2" activePane="bottomLeft" state="frozen"/>
      <selection pane="bottomLeft" activeCell="F16" sqref="F16"/>
    </sheetView>
  </sheetViews>
  <sheetFormatPr defaultRowHeight="13.8" x14ac:dyDescent="0.25"/>
  <cols>
    <col min="1" max="5" width="18" style="3" customWidth="1"/>
    <col min="6" max="6" width="18" style="1" customWidth="1"/>
    <col min="7" max="9" width="18" style="3" customWidth="1"/>
    <col min="10" max="10" width="18" style="3" bestFit="1" customWidth="1"/>
    <col min="11" max="40" width="18" style="3" customWidth="1"/>
  </cols>
  <sheetData>
    <row r="1" spans="1:40" x14ac:dyDescent="0.25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79</v>
      </c>
      <c r="AE1" t="s">
        <v>80</v>
      </c>
      <c r="AF1" t="s">
        <v>81</v>
      </c>
      <c r="AG1" t="s">
        <v>82</v>
      </c>
      <c r="AH1" t="s">
        <v>83</v>
      </c>
      <c r="AI1" t="s">
        <v>84</v>
      </c>
      <c r="AJ1" t="s">
        <v>85</v>
      </c>
      <c r="AK1" t="s">
        <v>86</v>
      </c>
      <c r="AL1" t="s">
        <v>87</v>
      </c>
      <c r="AM1" t="s">
        <v>88</v>
      </c>
      <c r="AN1" t="s">
        <v>89</v>
      </c>
    </row>
    <row r="2" spans="1:40" x14ac:dyDescent="0.25">
      <c r="A2" t="s">
        <v>90</v>
      </c>
      <c r="B2" t="s">
        <v>91</v>
      </c>
      <c r="C2" t="s">
        <v>92</v>
      </c>
      <c r="D2">
        <f>E2*1+G2*1+I2*1+K2*1+M2*1+O2*1+Q2*1+S2*1+U2*1+W2*1+Z2*0.15+AC2*0.15+AF2*0.15+AI2*0.15+AL2*0.15</f>
        <v>22</v>
      </c>
      <c r="E2">
        <v>25</v>
      </c>
      <c r="F2" t="s">
        <v>9</v>
      </c>
      <c r="G2">
        <v>0</v>
      </c>
      <c r="H2" t="s">
        <v>93</v>
      </c>
      <c r="I2">
        <v>0</v>
      </c>
      <c r="J2" t="s">
        <v>94</v>
      </c>
      <c r="K2">
        <v>0</v>
      </c>
      <c r="L2" t="s">
        <v>95</v>
      </c>
      <c r="M2">
        <v>0</v>
      </c>
      <c r="N2" t="s">
        <v>96</v>
      </c>
      <c r="O2">
        <v>0</v>
      </c>
      <c r="P2" t="s">
        <v>97</v>
      </c>
      <c r="Q2">
        <v>-3</v>
      </c>
      <c r="R2" t="s">
        <v>27</v>
      </c>
      <c r="S2">
        <v>0</v>
      </c>
      <c r="T2" t="s">
        <v>98</v>
      </c>
      <c r="U2">
        <v>0</v>
      </c>
      <c r="V2" t="s">
        <v>99</v>
      </c>
      <c r="W2">
        <v>0</v>
      </c>
      <c r="Y2"/>
      <c r="Z2">
        <v>0</v>
      </c>
      <c r="AB2"/>
      <c r="AC2">
        <v>0</v>
      </c>
      <c r="AE2"/>
      <c r="AF2">
        <v>0</v>
      </c>
      <c r="AH2"/>
      <c r="AI2">
        <v>0</v>
      </c>
      <c r="AK2"/>
      <c r="AL2">
        <v>0</v>
      </c>
      <c r="AN2"/>
    </row>
    <row r="3" spans="1:40" x14ac:dyDescent="0.25">
      <c r="A3" t="s">
        <v>100</v>
      </c>
      <c r="B3" t="s">
        <v>101</v>
      </c>
      <c r="C3" t="s">
        <v>102</v>
      </c>
      <c r="D3">
        <f>E3*1+G3*1+I3*1+K3*1+M3*1+O3*1+Q3*1+S3*1+U3*1+W3*1+Z3*0.15+AC3*0.15+AF3*0.15+AI3*0.15+AL3*0.15</f>
        <v>26</v>
      </c>
      <c r="E3">
        <v>25</v>
      </c>
      <c r="F3" t="s">
        <v>9</v>
      </c>
      <c r="G3">
        <v>0</v>
      </c>
      <c r="H3" t="s">
        <v>93</v>
      </c>
      <c r="I3">
        <v>0</v>
      </c>
      <c r="J3" t="s">
        <v>94</v>
      </c>
      <c r="K3">
        <v>0</v>
      </c>
      <c r="L3" t="s">
        <v>95</v>
      </c>
      <c r="M3">
        <v>0</v>
      </c>
      <c r="N3" t="s">
        <v>103</v>
      </c>
      <c r="O3">
        <v>2</v>
      </c>
      <c r="P3" t="s">
        <v>24</v>
      </c>
      <c r="Q3">
        <v>-3</v>
      </c>
      <c r="R3" t="s">
        <v>27</v>
      </c>
      <c r="S3">
        <v>2</v>
      </c>
      <c r="T3" t="s">
        <v>30</v>
      </c>
      <c r="U3">
        <v>0</v>
      </c>
      <c r="V3" t="s">
        <v>99</v>
      </c>
      <c r="W3">
        <v>0</v>
      </c>
      <c r="Y3"/>
      <c r="Z3">
        <v>0</v>
      </c>
      <c r="AB3"/>
      <c r="AC3">
        <v>0</v>
      </c>
      <c r="AE3"/>
      <c r="AF3">
        <v>0</v>
      </c>
      <c r="AH3"/>
      <c r="AI3">
        <v>0</v>
      </c>
      <c r="AK3"/>
      <c r="AL3">
        <v>0</v>
      </c>
      <c r="AN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rule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</dc:creator>
  <cp:lastModifiedBy>xablockchain</cp:lastModifiedBy>
  <dcterms:created xsi:type="dcterms:W3CDTF">2026-10-28T06:26:43Z</dcterms:created>
  <dcterms:modified xsi:type="dcterms:W3CDTF">2026-10-31T02:12:15Z</dcterms:modified>
</cp:coreProperties>
</file>