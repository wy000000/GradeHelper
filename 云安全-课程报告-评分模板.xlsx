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xmlns:r="http://schemas.openxmlformats.org/officeDocument/2006/relationships" name="rule" sheetId="1" state="visible" r:id="rId1"/>
    <sheet xmlns:r="http://schemas.openxmlformats.org/officeDocument/2006/relationships" name="result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4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58" fontId="0" fillId="0" borderId="0" applyAlignment="1" pivotButton="0" quotePrefix="1" xfId="0">
      <alignment vertical="center"/>
    </xf>
    <xf numFmtId="0" fontId="0" fillId="0" borderId="0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tabSelected="1" topLeftCell="A12" workbookViewId="0">
      <selection activeCell="D16" sqref="D16"/>
    </sheetView>
  </sheetViews>
  <sheetFormatPr baseColWidth="8" defaultRowHeight="13.8"/>
  <cols>
    <col width="17.77734375" customWidth="1" style="3" min="1" max="1"/>
    <col width="9.5546875" bestFit="1" customWidth="1" style="3" min="4" max="4"/>
    <col width="68.88671875" customWidth="1" style="1" min="5" max="5"/>
    <col width="58.5546875" customWidth="1" style="1" min="6" max="6"/>
  </cols>
  <sheetData>
    <row r="1">
      <c r="A1" s="0" t="inlineStr">
        <is>
          <t>评分项</t>
        </is>
      </c>
      <c r="B1" s="0" t="inlineStr">
        <is>
          <t>默认值</t>
        </is>
      </c>
      <c r="C1" s="0" t="inlineStr">
        <is>
          <t>权重</t>
        </is>
      </c>
      <c r="D1" s="0" t="inlineStr">
        <is>
          <t>处理方法</t>
        </is>
      </c>
      <c r="E1" s="1" t="inlineStr">
        <is>
          <t>评估方法</t>
        </is>
      </c>
      <c r="F1" s="1" t="inlineStr">
        <is>
          <t>评语</t>
        </is>
      </c>
    </row>
    <row r="2">
      <c r="A2" s="0" t="inlineStr">
        <is>
          <t>baseScore</t>
        </is>
      </c>
      <c r="B2" s="0" t="n">
        <v>25</v>
      </c>
      <c r="C2" s="0" t="n">
        <v>1</v>
      </c>
      <c r="D2" s="0" t="inlineStr">
        <is>
          <t>rule</t>
        </is>
      </c>
      <c r="E2" s="1" t="inlineStr">
        <is>
          <t>报告存在即+25。</t>
        </is>
      </c>
      <c r="F2" s="1" t="inlineStr">
        <is>
          <t>报告已提交，+25分</t>
        </is>
      </c>
    </row>
    <row r="3" ht="27.6" customHeight="1" s="3">
      <c r="A3" s="0" t="inlineStr">
        <is>
          <t>hasNameID</t>
        </is>
      </c>
      <c r="B3" s="0" t="n">
        <v>-2</v>
      </c>
      <c r="C3" s="0" t="n">
        <v>1</v>
      </c>
      <c r="D3" s="0" t="inlineStr">
        <is>
          <t>rule</t>
        </is>
      </c>
      <c r="E3" s="1" t="inlineStr">
        <is>
          <t>缺少姓名中学号。报告文本中不包含姓名或学号。缺少任意一个或缺少两个，-2。</t>
        </is>
      </c>
      <c r="F3" s="1" t="inlineStr">
        <is>
          <t>报告中不含xx，-2分。</t>
        </is>
      </c>
    </row>
    <row r="4" ht="27.6" customHeight="1" s="3">
      <c r="A4" s="0" t="inlineStr">
        <is>
          <t>redundantRName</t>
        </is>
      </c>
      <c r="B4" s="0" t="n">
        <v>-2</v>
      </c>
      <c r="C4" s="0" t="n">
        <v>1</v>
      </c>
      <c r="D4" s="0" t="inlineStr">
        <is>
          <t>rule</t>
        </is>
      </c>
      <c r="E4" s="1" t="inlineStr">
        <is>
          <t>题目冗余。程序判断在第一个姓名之前是否同时包含“课程报告”和“实验报告”两个字符串。如果包含，-2。</t>
        </is>
      </c>
      <c r="F4" s="1" t="inlineStr">
        <is>
          <t>报告名称冗余。封面同时包含“课程报告”和“实验报告”，-2分。</t>
        </is>
      </c>
    </row>
    <row r="5" ht="27.6" customHeight="1" s="3">
      <c r="A5" s="0" t="inlineStr">
        <is>
          <t>copied</t>
        </is>
      </c>
      <c r="B5" s="0" t="n">
        <v>-5</v>
      </c>
      <c r="C5" s="0" t="n">
        <v>1</v>
      </c>
      <c r="D5" s="0" t="inlineStr">
        <is>
          <t>rule</t>
        </is>
      </c>
      <c r="E5" s="1" t="inlineStr">
        <is>
          <t>相似度判定。2篇或更多文档，基于欧氏距离的相似度&gt;=90%，-5。这里主要是判断是否完全复制，因为欧氏距离对长度敏感，所以用欧氏距离。</t>
        </is>
      </c>
      <c r="F5" s="1" t="inlineStr">
        <is>
          <t>高度雷同。基于欧氏距离的相似度&gt;=90%。-5分。相似学号：xxxx。</t>
        </is>
      </c>
    </row>
    <row r="6" ht="27.6" customHeight="1" s="3">
      <c r="A6" s="0" t="inlineStr">
        <is>
          <t>tooManyList</t>
        </is>
      </c>
      <c r="B6" s="0" t="n">
        <v>-4</v>
      </c>
      <c r="C6" s="0" t="n">
        <v>1</v>
      </c>
      <c r="D6" s="0" t="inlineStr">
        <is>
          <t>rule</t>
        </is>
      </c>
      <c r="E6" s="1" t="inlineStr">
        <is>
          <t>List滥用。先分离程序代码内容，使用非代码内容比较。非代码List内容长度超过非代码正文段落内容长度，-4。</t>
        </is>
      </c>
      <c r="F6" s="1" t="inlineStr">
        <is>
          <t>过多使用list，疑似滥用AI。List内容长度超过正文段落内容长度，-4分。</t>
        </is>
      </c>
    </row>
    <row r="7">
      <c r="A7" s="0" t="inlineStr">
        <is>
          <t>hasCatalogue</t>
        </is>
      </c>
      <c r="B7" s="0" t="n">
        <v>2</v>
      </c>
      <c r="C7" s="0" t="n">
        <v>1</v>
      </c>
      <c r="D7" s="0" t="inlineStr">
        <is>
          <t>rule</t>
        </is>
      </c>
      <c r="E7" s="1" t="inlineStr">
        <is>
          <t>包含目录。报告前半总分包含目录，+2。</t>
        </is>
      </c>
      <c r="F7" s="1" t="inlineStr">
        <is>
          <t>报告包含目录，+2分。</t>
        </is>
      </c>
    </row>
    <row r="8" ht="41.4" customHeight="1" s="3">
      <c r="A8" s="0" t="inlineStr">
        <is>
          <t>hasRequirement</t>
        </is>
      </c>
      <c r="B8" s="0" t="n">
        <v>-3</v>
      </c>
      <c r="C8" s="0" t="n">
        <v>1</v>
      </c>
      <c r="D8" s="0" t="inlineStr">
        <is>
          <t>rule</t>
        </is>
      </c>
      <c r="E8" s="1" t="inlineStr">
        <is>
          <t>包含题目。报告前半部分包含相似度不少于90%的下面字符串。“1、针对某一云安全问题进行论述，叙述其产生的原因，带来的危害，解决的方法。
2、对本门课程的总结，包括收益、建议等。”如果不包含，-3。</t>
        </is>
      </c>
      <c r="F8" s="1" t="inlineStr">
        <is>
          <t>未按要求写明题目要求，-3分。</t>
        </is>
      </c>
    </row>
    <row r="9">
      <c r="A9" s="0" t="inlineStr">
        <is>
          <t>summaryDocker</t>
        </is>
      </c>
      <c r="B9" s="0" t="n">
        <v>2</v>
      </c>
      <c r="C9" s="0" t="n">
        <v>1</v>
      </c>
      <c r="D9" s="0" t="inlineStr">
        <is>
          <t>rule</t>
        </is>
      </c>
      <c r="E9" s="1" t="inlineStr">
        <is>
          <t>最后总结部分包含docker, +2。</t>
        </is>
      </c>
      <c r="F9" s="1" t="inlineStr">
        <is>
          <t>总结部分涉及重点内容docker，+2分。</t>
        </is>
      </c>
    </row>
    <row r="10">
      <c r="A10" s="0" t="inlineStr">
        <is>
          <t>summarySql</t>
        </is>
      </c>
      <c r="B10" s="0" t="n">
        <v>2</v>
      </c>
      <c r="C10" s="0" t="n">
        <v>1</v>
      </c>
      <c r="D10" s="0" t="inlineStr">
        <is>
          <t>rule</t>
        </is>
      </c>
      <c r="E10" s="1" t="inlineStr">
        <is>
          <t>最后总结部分包含NoSQL, MongoDB, SQLite, hbase,任意一项，+2。</t>
        </is>
      </c>
      <c r="F10" s="1" t="inlineStr">
        <is>
          <t>总结部分涉及重点内容NoSQL，+2分。</t>
        </is>
      </c>
    </row>
    <row r="11" ht="41.4" customHeight="1" s="3">
      <c r="A11" s="0" t="inlineStr">
        <is>
          <t>hasPic</t>
        </is>
      </c>
      <c r="B11" s="2" t="inlineStr">
        <is>
          <t>0-4</t>
        </is>
      </c>
      <c r="C11" s="0" t="n">
        <v>1</v>
      </c>
      <c r="D11" s="0" t="inlineStr">
        <is>
          <t>LLM</t>
        </is>
      </c>
      <c r="E11" s="1" t="inlineStr">
        <is>
          <t>图片评估。评分0-4分，根据图片的多少，图片内容与讨论内容相符程度，图片内容的技术合理性给出评分。评估本项之前可以先用vllm对所有图片批量识别预处理。</t>
        </is>
      </c>
      <c r="F11" s="1" t="inlineStr">
        <is>
          <t>引导LLM给出评语和评分。评语要给出评分原因。+[0, 4]分</t>
        </is>
      </c>
    </row>
    <row r="12" ht="69" customHeight="1" s="3">
      <c r="A12" s="0" t="inlineStr">
        <is>
          <t>event</t>
        </is>
      </c>
      <c r="B12" s="0" t="inlineStr">
        <is>
          <t>0-100</t>
        </is>
      </c>
      <c r="C12" s="0" t="n">
        <v>0.15</v>
      </c>
      <c r="D12" s="0" t="inlineStr">
        <is>
          <t>LLM</t>
        </is>
      </c>
      <c r="E12" s="1" t="inlineStr">
        <is>
          <t>对某一云安全问题或事件进行了描述。根据描述清晰性(如表述是否准确、无歧义，专业术语使用是否正确)、完整性(如否交代时间、主体、受影响资产、攻击/故障类型、结果等关键要素)、详略程度(如细节是否足以支撑理解，同时不过度冗余)打分。如果事件是亲身经历或切身相关的，额外+3(不受上限15分的限制)。</t>
        </is>
      </c>
      <c r="F12" s="1" t="inlineStr">
        <is>
          <t>引导LLM给出评语和评分。评语要给出评分原因。+[0, 15]分</t>
        </is>
      </c>
    </row>
    <row r="13" ht="55.2" customHeight="1" s="3">
      <c r="A13" s="0" t="inlineStr">
        <is>
          <t>eventCause</t>
        </is>
      </c>
      <c r="B13" s="0" t="inlineStr">
        <is>
          <t>0-100</t>
        </is>
      </c>
      <c r="C13" s="0" t="n">
        <v>0.15</v>
      </c>
      <c r="D13" s="0" t="inlineStr">
        <is>
          <t>LLM</t>
        </is>
      </c>
      <c r="E13" s="1" t="inlineStr">
        <is>
          <t>论述了产生这一问题或事件的原因。根据描述清晰性(如因果链条是否明确，从诱因到事件的传导路径是否可追溯)、合理性(如原因是否符合技术事实，是否与所述事件自洽)、详略程度(如是否区分直接原因与根本原因，是否涉及技术、管理、流程多层面)打分。</t>
        </is>
      </c>
      <c r="F13" s="1" t="inlineStr">
        <is>
          <t>引导LLM给出评语和评分。评语要给出评分原因。+[0, 15]分</t>
        </is>
      </c>
    </row>
    <row r="14" ht="41.4" customHeight="1" s="3">
      <c r="A14" s="0" t="inlineStr">
        <is>
          <t>eventHazard</t>
        </is>
      </c>
      <c r="B14" s="0" t="inlineStr">
        <is>
          <t>0-100</t>
        </is>
      </c>
      <c r="C14" s="0" t="n">
        <v>0.15</v>
      </c>
      <c r="D14" s="0" t="inlineStr">
        <is>
          <t>LLM</t>
        </is>
      </c>
      <c r="E14" s="1" t="inlineStr">
        <is>
          <t>论述了产生这一问题或事件的危害。根据描述清晰性(如危害描述是否具体、可理解)、合理性(如危害是否与事件规模、类型匹配，有无夸大或低估)、详略程度(如是否覆盖多个危害维度)打分。</t>
        </is>
      </c>
      <c r="F14" s="1" t="inlineStr">
        <is>
          <t>引导LLM给出评语和评分。评语要给出评分原因。+[0, 15]分</t>
        </is>
      </c>
    </row>
    <row r="15" ht="55.2" customHeight="1" s="3">
      <c r="A15" s="0" t="inlineStr">
        <is>
          <t>eventSolution</t>
        </is>
      </c>
      <c r="B15" s="0" t="inlineStr">
        <is>
          <t>0-100</t>
        </is>
      </c>
      <c r="C15" s="0" t="n">
        <v>0.15</v>
      </c>
      <c r="D15" s="0" t="inlineStr">
        <is>
          <t>LLM</t>
        </is>
      </c>
      <c r="E15" s="1" t="inlineStr">
        <is>
          <t>论述了解决这一问题的措施。根据描述清晰性(如措施表述是否具体、可操作，步骤是否明确)、合理性(如措施是否技术上正确，是否与事件成因和危害对应，是否符合云安全最佳实践)、详略程度(如是否区分应急处置与长期加固，是否覆盖技术、流程、监控多个层面)打分。</t>
        </is>
      </c>
      <c r="F15" s="1" t="inlineStr">
        <is>
          <t>引导LLM给出评语和评分。评语要给出评分原因。+[0, 15]分</t>
        </is>
      </c>
    </row>
    <row r="16" ht="96.59999999999999" customHeight="1" s="3">
      <c r="A16" s="0" t="inlineStr">
        <is>
          <t>summary</t>
        </is>
      </c>
      <c r="B16" s="0" t="inlineStr">
        <is>
          <t>0-100</t>
        </is>
      </c>
      <c r="C16" s="0" t="n">
        <v>0.15</v>
      </c>
      <c r="D16" s="0" t="inlineStr">
        <is>
          <t>LLM</t>
        </is>
      </c>
      <c r="E16" s="1" t="inlineStr">
        <is>
          <t>课程总结。根据描述清晰性、完整性、详略程度打分。课程的主体内容为云计算和云安全的相关基础知识；云计算相关的安全风险分析；主机虚拟化技术及安全分析；网络虚拟化及安全分析；身份管理及访问控制相关知识；云数据及其安全问题；docker相关知识及操作；NoSQL MongoDB SQLite hbase等相关知识；虚拟主机的配置及其网络配置。对课程的总结应落在这个范围，相关内容越多得分越高。也可以包含对云安全课程的收益、建议等。如果加入学习过程的亲身体会和经历，额外+2(不受上限15分的限制)。</t>
        </is>
      </c>
      <c r="F16" s="1" t="inlineStr">
        <is>
          <t>引导LLM给出评语和评分。评语要给出评分原因。+[0, 15]分</t>
        </is>
      </c>
    </row>
  </sheetData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3"/>
  <sheetViews>
    <sheetView workbookViewId="0">
      <pane ySplit="1" topLeftCell="A2" activePane="bottomLeft" state="frozen"/>
      <selection pane="bottomLeft" activeCell="H12" sqref="H12"/>
    </sheetView>
  </sheetViews>
  <sheetFormatPr baseColWidth="8" defaultRowHeight="13.8"/>
  <cols>
    <col width="18" customWidth="1" style="3" min="1" max="5"/>
    <col width="18" customWidth="1" style="3" min="2" max="2"/>
    <col width="18" customWidth="1" style="3" min="3" max="3"/>
    <col width="18" customWidth="1" style="3" min="4" max="4"/>
    <col width="18" customWidth="1" style="3" min="5" max="5"/>
    <col width="18" customWidth="1" style="1" min="6" max="6"/>
    <col width="18" customWidth="1" style="3" min="7" max="9"/>
    <col width="18" customWidth="1" style="3" min="8" max="8"/>
    <col width="18" customWidth="1" style="3" min="9" max="9"/>
    <col width="18" bestFit="1" customWidth="1" style="3" min="10" max="12"/>
    <col width="18" customWidth="1" style="3" min="11" max="11"/>
    <col width="18" customWidth="1" style="3" min="12" max="12"/>
    <col width="18" customWidth="1" style="3" min="13" max="40"/>
    <col width="18" customWidth="1" style="3" min="14" max="14"/>
    <col width="18" customWidth="1" style="3" min="15" max="15"/>
    <col width="18" customWidth="1" style="3" min="16" max="16"/>
    <col width="18" customWidth="1" style="3" min="17" max="17"/>
    <col width="18" customWidth="1" style="3" min="18" max="18"/>
    <col width="18" customWidth="1" style="3" min="19" max="19"/>
    <col width="18" customWidth="1" style="3" min="20" max="20"/>
    <col width="18" customWidth="1" style="3" min="21" max="21"/>
    <col width="18" customWidth="1" style="3" min="22" max="22"/>
    <col width="18" customWidth="1" style="3" min="23" max="23"/>
    <col width="18" customWidth="1" style="3" min="24" max="24"/>
    <col width="18" customWidth="1" style="3" min="25" max="25"/>
    <col width="18" customWidth="1" style="3" min="26" max="26"/>
    <col width="18" customWidth="1" style="3" min="27" max="27"/>
    <col width="18" customWidth="1" style="3" min="28" max="28"/>
    <col width="18" customWidth="1" style="3" min="29" max="29"/>
    <col width="18" customWidth="1" style="3" min="30" max="30"/>
    <col width="18" customWidth="1" style="3" min="31" max="31"/>
    <col width="18" customWidth="1" style="3" min="32" max="32"/>
    <col width="18" customWidth="1" style="3" min="33" max="33"/>
    <col width="18" customWidth="1" style="3" min="34" max="34"/>
    <col width="18" customWidth="1" style="3" min="35" max="35"/>
    <col width="18" customWidth="1" style="3" min="36" max="36"/>
    <col width="18" customWidth="1" style="3" min="37" max="37"/>
    <col width="18" customWidth="1" style="3" min="38" max="38"/>
    <col width="18" customWidth="1" style="3" min="39" max="39"/>
    <col width="18" customWidth="1" style="3" min="40" max="40"/>
  </cols>
  <sheetData>
    <row r="1">
      <c r="A1" t="inlineStr">
        <is>
          <t>学号</t>
        </is>
      </c>
      <c r="B1" t="inlineStr">
        <is>
          <t>姓名</t>
        </is>
      </c>
      <c r="C1" t="inlineStr">
        <is>
          <t>班级</t>
        </is>
      </c>
      <c r="D1" t="inlineStr">
        <is>
          <t>总分</t>
        </is>
      </c>
      <c r="E1" t="inlineStr">
        <is>
          <t>baseScore评分</t>
        </is>
      </c>
      <c r="F1" t="inlineStr">
        <is>
          <t>baseScore评语</t>
        </is>
      </c>
      <c r="G1" t="inlineStr">
        <is>
          <t>hasNameID评分</t>
        </is>
      </c>
      <c r="H1" t="inlineStr">
        <is>
          <t>hasNameID评语</t>
        </is>
      </c>
      <c r="I1" t="inlineStr">
        <is>
          <t>redundantRName评分</t>
        </is>
      </c>
      <c r="J1" t="inlineStr">
        <is>
          <t>redundantRName评语</t>
        </is>
      </c>
      <c r="K1" t="inlineStr">
        <is>
          <t>copied评分</t>
        </is>
      </c>
      <c r="L1" t="inlineStr">
        <is>
          <t>copied评语</t>
        </is>
      </c>
      <c r="M1" t="inlineStr">
        <is>
          <t>tooManyList评分</t>
        </is>
      </c>
      <c r="N1" t="inlineStr">
        <is>
          <t>tooManyList评语</t>
        </is>
      </c>
      <c r="O1" t="inlineStr">
        <is>
          <t>hasCatalogue评分</t>
        </is>
      </c>
      <c r="P1" t="inlineStr">
        <is>
          <t>hasCatalogue评语</t>
        </is>
      </c>
      <c r="Q1" t="inlineStr">
        <is>
          <t>hasRequirement评分</t>
        </is>
      </c>
      <c r="R1" t="inlineStr">
        <is>
          <t>hasRequirement评语</t>
        </is>
      </c>
      <c r="S1" t="inlineStr">
        <is>
          <t>summaryDocker评分</t>
        </is>
      </c>
      <c r="T1" t="inlineStr">
        <is>
          <t>summaryDocker评语</t>
        </is>
      </c>
      <c r="U1" t="inlineStr">
        <is>
          <t>summarySql评分</t>
        </is>
      </c>
      <c r="V1" t="inlineStr">
        <is>
          <t>summarySql评语</t>
        </is>
      </c>
      <c r="W1" t="inlineStr">
        <is>
          <t>hasPic评分</t>
        </is>
      </c>
      <c r="X1" t="inlineStr">
        <is>
          <t>hasPic置信度</t>
        </is>
      </c>
      <c r="Y1" t="inlineStr">
        <is>
          <t>hasPic评语</t>
        </is>
      </c>
      <c r="Z1" t="inlineStr">
        <is>
          <t>event评分</t>
        </is>
      </c>
      <c r="AA1" t="inlineStr">
        <is>
          <t>event置信度</t>
        </is>
      </c>
      <c r="AB1" t="inlineStr">
        <is>
          <t>event评语</t>
        </is>
      </c>
      <c r="AC1" t="inlineStr">
        <is>
          <t>eventCause评分</t>
        </is>
      </c>
      <c r="AD1" t="inlineStr">
        <is>
          <t>eventCause置信度</t>
        </is>
      </c>
      <c r="AE1" t="inlineStr">
        <is>
          <t>eventCause评语</t>
        </is>
      </c>
      <c r="AF1" t="inlineStr">
        <is>
          <t>eventHazard评分</t>
        </is>
      </c>
      <c r="AG1" t="inlineStr">
        <is>
          <t>eventHazard置信度</t>
        </is>
      </c>
      <c r="AH1" t="inlineStr">
        <is>
          <t>eventHazard评语</t>
        </is>
      </c>
      <c r="AI1" t="inlineStr">
        <is>
          <t>eventSolution评分</t>
        </is>
      </c>
      <c r="AJ1" t="inlineStr">
        <is>
          <t>eventSolution置信度</t>
        </is>
      </c>
      <c r="AK1" t="inlineStr">
        <is>
          <t>eventSolution评语</t>
        </is>
      </c>
      <c r="AL1" t="inlineStr">
        <is>
          <t>summary评分</t>
        </is>
      </c>
      <c r="AM1" t="inlineStr">
        <is>
          <t>summary置信度</t>
        </is>
      </c>
      <c r="AN1" t="inlineStr">
        <is>
          <t>summary评语</t>
        </is>
      </c>
    </row>
    <row r="2">
      <c r="A2" t="inlineStr">
        <is>
          <t>3220601014</t>
        </is>
      </c>
      <c r="B2" t="inlineStr">
        <is>
          <t>王庶尧</t>
        </is>
      </c>
      <c r="C2" t="inlineStr">
        <is>
          <t>信息安全2201</t>
        </is>
      </c>
      <c r="D2">
        <f>E2*1.0+G2*1.0+I2*1.0+K2*1.0+M2*1.0+O2*1.0+Q2*1.0+S2*1.0+U2*1.0+W2*1.0+Z2*0.15+AC2*0.15+AF2*0.15+AI2*0.15+AL2*0.15</f>
        <v/>
      </c>
      <c r="E2" t="n">
        <v>25</v>
      </c>
      <c r="F2" t="inlineStr">
        <is>
          <t>报告已提交，+25分</t>
        </is>
      </c>
      <c r="G2" t="n">
        <v>0</v>
      </c>
      <c r="H2" t="inlineStr">
        <is>
          <t>报告中包含姓名和学号，不扣分。</t>
        </is>
      </c>
      <c r="I2" t="n">
        <v>0</v>
      </c>
      <c r="J2" t="inlineStr">
        <is>
          <t>报告名称无冗余，不扣分。</t>
        </is>
      </c>
      <c r="K2" t="n">
        <v>0</v>
      </c>
      <c r="L2" t="inlineStr">
        <is>
          <t>与其他报告最高相似度 50%，未达 90%，不扣分。</t>
        </is>
      </c>
      <c r="M2" t="n">
        <v>0</v>
      </c>
      <c r="N2" t="inlineStr">
        <is>
          <t>List 使用正常（List 0 字，正文 2481 字），不扣分。</t>
        </is>
      </c>
      <c r="O2" t="n">
        <v>0</v>
      </c>
      <c r="P2" t="inlineStr">
        <is>
          <t>报告未检测到目录，不加分。</t>
        </is>
      </c>
      <c r="Q2" t="n">
        <v>-3</v>
      </c>
      <c r="R2" t="inlineStr">
        <is>
          <t>未按要求写明题目要求，-3分。</t>
        </is>
      </c>
      <c r="S2" t="n">
        <v>0</v>
      </c>
      <c r="T2" t="inlineStr">
        <is>
          <t>总结部分未涉及 docker，不加分。</t>
        </is>
      </c>
      <c r="U2" t="n">
        <v>0</v>
      </c>
      <c r="V2" t="inlineStr">
        <is>
          <t>总结部分未涉及 NoSQL 相关内容，不加分。</t>
        </is>
      </c>
      <c r="W2" t="n">
        <v>1</v>
      </c>
      <c r="X2" t="n">
        <v>0.95</v>
      </c>
      <c r="Y2" t="inlineStr">
        <is>
          <t>经检查，报告 Markdown 内容中未包含任何图片引用（如 ![...]）或图注标记。依据评分标准，图片数量为 0，导致‘相符程度’与‘技术合理性’无法评估。文本论述逻辑清晰，但此项专门针对视觉材料，故仅给基础分。建议补充云架构、数据流或配置示意图以支撑理论分析。</t>
        </is>
      </c>
      <c r="Z2" t="n">
        <v>82</v>
      </c>
      <c r="AA2" t="n">
        <v>0.95</v>
      </c>
      <c r="AB2" t="inlineStr">
        <is>
          <t>内容结构严谨，专业术语（如共享责任模型、MFA、AccessKey）使用准确，清晰阐述了云存储泄露的成因、危害及防护策略。但在完整性维度上，作为‘问题/事件’描述，缺乏特定时间、具体受害主体、单一攻击链等关键要素的具体刻画，更多呈现为通用理论综述而非具体案例的深度剖析。未见明确提及亲身经历或切身关联的佐证，故未适用额外加分项。整体符合课程报告要求，但距离‘非常完美’尚有差距。</t>
        </is>
      </c>
      <c r="AC2" t="n">
        <v>88</v>
      </c>
      <c r="AD2" t="n">
        <v>0.95</v>
      </c>
      <c r="AE2" t="inlineStr">
        <is>
          <t>该评分项论述清晰，因果链条明确（从配置失误、身份管控到责任边界、应用漏洞及加密缺失），逻辑自洽。技术事实准确，符合云安全领域共识。详略得当，区分了直接原因（如存储桶公开读写）与根本原因（如租户安全意识薄弱、责任模型认知偏差），涵盖技术、管理、流程多层面。整体质量优秀，但作为通用性论述，缺乏具体真实案例的深度剖析或特定场景下的根因量化分析，故未给满分。</t>
        </is>
      </c>
      <c r="AF2" t="n">
        <v>87</v>
      </c>
      <c r="AG2" t="n">
        <v>0.95</v>
      </c>
      <c r="AH2" t="inlineStr">
        <is>
          <t>危害描述清晰具体，涵盖个人隐私、企业声誉经济、合规法律及衍生安全风险四个维度。引用法规准确，与云存储泄露事件规模匹配，无夸大或遗漏。结构完整，逻辑自洽。但整体论述较为常规，属于标准教科书式分析，缺乏针对特定场景的深度剖析或独到见解，故按高标准审慎给分。</t>
        </is>
      </c>
      <c r="AI2" t="n">
        <v>85</v>
      </c>
      <c r="AJ2" t="n">
        <v>0.93</v>
      </c>
      <c r="AK2" t="inlineStr">
        <is>
          <t>措施表述清晰，步骤明确。合理性较强，针对配置、身份、加密等成因提出了符合云安全最佳实践的对策。详略程度良好，区分了应急处置与长期加固，覆盖技术、流程及监控多个层面。部分措施（如'定期巡检'）缺乏具体工具或频率支撑，落地细节稍显不足，故给 85 分。</t>
        </is>
      </c>
      <c r="AL2" t="n">
        <v>76</v>
      </c>
      <c r="AM2" t="n">
        <v>0.92</v>
      </c>
      <c r="AN2" t="inlineStr">
        <is>
          <t>内容结构清晰，语言专业。课程总结部分涵盖了云计算架构、服务模式差异及典型威胁，对云安全核心概念理解到位。但对照评分标准中的课程主体范围，总结中缺失了对 Docker 具体操作、NoSQL 数据库安全及虚拟化网络配置等关键技术模块的明确回顾，内容覆盖度约为 60%，未能完全体现课程的技术实操深度。心得体会部分较为笼统，缺乏具体的学习过程经历或实验细节描述，未触发额外加分项。整体是一份合格的总结，但距离'非常完美'尚有差距。</t>
        </is>
      </c>
    </row>
    <row r="3">
      <c r="A3" t="inlineStr">
        <is>
          <t>3220802028</t>
        </is>
      </c>
      <c r="B3" t="inlineStr">
        <is>
          <t>胡崎</t>
        </is>
      </c>
      <c r="C3" t="inlineStr">
        <is>
          <t>信息安全2301</t>
        </is>
      </c>
      <c r="D3">
        <f>E3*1.0+G3*1.0+I3*1.0+K3*1.0+M3*1.0+O3*1.0+Q3*1.0+S3*1.0+U3*1.0+W3*1.0+Z3*0.15+AC3*0.15+AF3*0.15+AI3*0.15+AL3*0.15</f>
        <v/>
      </c>
      <c r="E3" t="n">
        <v>25</v>
      </c>
      <c r="F3" t="inlineStr">
        <is>
          <t>报告已提交，+25分</t>
        </is>
      </c>
      <c r="G3" t="n">
        <v>0</v>
      </c>
      <c r="H3" t="inlineStr">
        <is>
          <t>报告中包含姓名和学号，不扣分。</t>
        </is>
      </c>
      <c r="I3" t="n">
        <v>0</v>
      </c>
      <c r="J3" t="inlineStr">
        <is>
          <t>报告名称无冗余，不扣分。</t>
        </is>
      </c>
      <c r="K3" t="n">
        <v>0</v>
      </c>
      <c r="L3" t="inlineStr">
        <is>
          <t>与其他报告最高相似度 50%，未达 90%，不扣分。</t>
        </is>
      </c>
      <c r="M3" t="n">
        <v>0</v>
      </c>
      <c r="N3" t="inlineStr">
        <is>
          <t>List 使用正常（List 322 字，正文 5491 字），不扣分。</t>
        </is>
      </c>
      <c r="O3" t="n">
        <v>2</v>
      </c>
      <c r="P3" t="inlineStr">
        <is>
          <t>报告包含目录，+2分。</t>
        </is>
      </c>
      <c r="Q3" t="n">
        <v>-3</v>
      </c>
      <c r="R3" t="inlineStr">
        <is>
          <t>未按要求写明题目要求，-3分。</t>
        </is>
      </c>
      <c r="S3" t="n">
        <v>2</v>
      </c>
      <c r="T3" t="inlineStr">
        <is>
          <t>总结部分涉及重点内容docker，+2分。</t>
        </is>
      </c>
      <c r="U3" t="n">
        <v>0</v>
      </c>
      <c r="V3" t="inlineStr">
        <is>
          <t>总结部分未涉及 NoSQL 相关内容，不加分。</t>
        </is>
      </c>
      <c r="W3" t="n">
        <v>1</v>
      </c>
      <c r="X3" t="n">
        <v>0.95</v>
      </c>
      <c r="Y3" t="inlineStr">
        <is>
          <t>提供的 Markdown 文本中未检测到任何图片标签（如 ![alt](url)）或嵌入的图片描述，无法依据评分标准评估图片数量、内容相关性及技术合理性。尽管报告正文撰写质量较高且结构完整，但针对本项（hasPic）的视觉证据在输入流中完全缺失，故仅给予基础分。</t>
        </is>
      </c>
      <c r="Z3" t="n">
        <v>96</v>
      </c>
      <c r="AA3" t="n">
        <v>0.95</v>
      </c>
      <c r="AB3" t="inlineStr">
        <is>
          <t>该报告紧扣‘云安全问题’要求，选取虚拟机逃逸作为核心议题，论述专业且深入。清晰性方面，Hypervisor、侧信道攻击等术语使用准确，逻辑表述无歧义；完整性方面，从技术原理、典型案例（VENOM/Spectre）、多租户风险到纵深防御方案，要素齐全；详略程度把控得当，既有理论深度又具实操建议。虽为系统性问题论述而非单一具体事件复盘，但完全符合评分标准中‘云安全问题’的范畴。未体现作者亲身经历或切身参与的具体安全事件，故不触发额外加分项。整体内容扎实，接近完美水准。</t>
        </is>
      </c>
      <c r="AC3" t="n">
        <v>95</v>
      </c>
      <c r="AD3" t="n">
        <v>0.95</v>
      </c>
      <c r="AE3" t="inlineStr">
        <is>
          <t>该评分项得分较高，原因如下：1. 清晰性：因果链条明确。从Hypervisor代码复杂性到具体漏洞（如VENOM），再到架构共享特性导致的侧信道风险，传导路径可追溯。2. 合理性：技术事实准确。引用CVE案例恰当，对MMU、TLB等底层原理的描述符合云安全共识，与虚拟机逃逸事件高度自洽。3. 详略程度：层次分明。区分了直接原因（漏洞）与根本原因（共享架构），涵盖技术、管理、供应链等多层面因素。内容结构严谨，论述深入。</t>
        </is>
      </c>
      <c r="AF3" t="n">
        <v>88</v>
      </c>
      <c r="AG3" t="n">
        <v>0.95</v>
      </c>
      <c r="AH3" t="inlineStr">
        <is>
          <t>该部分论述清晰，逻辑严密。描述清晰性方面，准确解释了逃逸攻击如何突破隔离边界并引发连锁反应；合理性方面，危害评估与事件规模匹配，涵盖了数据、业务及合规维度，无夸大或遗漏；详略程度方面，从技术、运营、信誉三个层面展开，覆盖面较全。若能在具体案例或量化影响上进一步补充，将更为完美。</t>
        </is>
      </c>
      <c r="AI3" t="n">
        <v>88</v>
      </c>
      <c r="AJ3" t="n">
        <v>0.95</v>
      </c>
      <c r="AK3" t="inlineStr">
        <is>
          <t>该评分项内容结构清晰，按技术、架构、管理、合规四个维度展开，符合云安全纵深防御理念。措施在技术上合理（如提及 TEE、微隔离、Hypervisor 加固），与前述逃逸成因对应性强。但在“详略程度”上略有不足：应急处置流程未独立于长期加固机制进行描述，部分措施（如漏洞跟踪）偏宏观，缺乏具体操作步骤或量化指标。整体为优秀水平的课程报告内容，但距“非常完美”的实操级方案尚有距离。</t>
        </is>
      </c>
      <c r="AL3" t="n">
        <v>92</v>
      </c>
      <c r="AM3" t="n">
        <v>0.95</v>
      </c>
      <c r="AN3" t="inlineStr">
        <is>
          <t>该总结内容详实，结构清晰。依据评分标准：1）覆盖度方面，明确提及了云计算三层架构、虚拟化安全、多租户隔离、IAM、数据安全及Docker操作等核心模块，符合课程主体范围；2）清晰度与完整性方面，从收获与建议两个维度展开，逻辑连贯，语言专业；3）个人体会加分项，文中具体描述了在VMware/Kali/Docker上的动手实践经历及对理论理解的深化，符合“学习过程亲身体会”的额外加分条件。扣分点在于未显式提及NoSQL数据库及虚拟主机配置细节，但整体质量极高，故给予92分。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wy</dc:creator>
  <dcterms:created xmlns:dcterms="http://purl.org/dc/terms/" xmlns:xsi="http://www.w3.org/2001/XMLSchema-instance" xsi:type="dcterms:W3CDTF">2026-10-28T06:26:43Z</dcterms:created>
  <dcterms:modified xmlns:dcterms="http://purl.org/dc/terms/" xmlns:xsi="http://www.w3.org/2001/XMLSchema-instance" xsi:type="dcterms:W3CDTF">2026-10-29T11:21:53Z</dcterms:modified>
  <cp:lastModifiedBy>xablockchain</cp:lastModifiedBy>
</cp:coreProperties>
</file>